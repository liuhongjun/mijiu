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参数" sheetId="1" r:id="rId1"/>
    <sheet name="投资明细" sheetId="2" r:id="rId2"/>
    <sheet name="收益测算" sheetId="3" r:id="rId3"/>
    <sheet name="说明" sheetId="4" r:id="rId4"/>
  </sheets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Microsoft YaHei"/>
    </font>
    <font>
      <b/>
      <sz val="11"/>
      <color rgb="FFFFFFFF"/>
      <name val="Microsoft YaHei"/>
    </font>
    <font>
      <b/>
      <sz val="11"/>
      <name val="Microsoft YaHei"/>
    </font>
    <font>
      <i/>
      <sz val="10"/>
      <color rgb="FF666666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AF1FB"/>
        <bgColor indexed="64"/>
      </patternFill>
    </fill>
  </fills>
  <borders count="1">
    <border/>
  </borders>
  <cellStyleXfs count="1">
    <xf/>
  </cellStyleXfs>
  <cellXfs count="7">
    <xf xfId="0"/>
    <xf xfId="0" fontId="1" fillId="2" applyFont="1" applyFill="1">
      <alignment vertical="center"/>
    </xf>
    <xf xfId="0" fontId="2" applyFont="1"/>
    <xf xfId="0" fontId="2" fillId="3" applyFont="1" applyFill="1"/>
    <xf xfId="0" fillId="3" applyFill="1"/>
    <xf xfId="0" numFmtId="164" applyNumberFormat="1"/>
    <xf xfId="0" fontId="2" fillId="3" applyFont="1" applyFill="1"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2" customWidth="1"/>
    <col min="3" max="3" width="12" customWidth="1"/>
    <col min="4" max="4" width="12" customWidth="1"/>
    <col min="5" max="5" width="44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>
      <c r="A2" s="2" t="inlineStr">
        <is>
          <t xml:space="preserve">经营参数（改浅蓝格，其余表自动重算）</t>
        </is>
      </c>
    </row>
    <row r="3">
      <c r="A3" s="3" t="inlineStr">
        <is>
          <t xml:space="preserve">参数</t>
        </is>
      </c>
      <c r="B3" s="3" t="inlineStr">
        <is>
          <t xml:space="preserve">值</t>
        </is>
      </c>
      <c r="E3" s="3" t="inlineStr">
        <is>
          <t xml:space="preserve">说明</t>
        </is>
      </c>
    </row>
    <row r="4">
      <c r="A4" s="0" t="inlineStr">
        <is>
          <t xml:space="preserve">年产量（吨）</t>
        </is>
      </c>
      <c r="B4" s="4">
        <v>3000</v>
      </c>
      <c r="E4" s="0" t="inlineStr">
        <is>
          <t xml:space="preserve">与 00-config 通用 profile 一致</t>
        </is>
      </c>
    </row>
    <row r="5">
      <c r="A5" s="0" t="inlineStr">
        <is>
          <t xml:space="preserve">出厂均价（元/吨）</t>
        </is>
      </c>
      <c r="B5" s="4">
        <v>28000</v>
      </c>
      <c r="E5" s="0" t="inlineStr">
        <is>
          <t xml:space="preserve">按产品结构加权</t>
        </is>
      </c>
    </row>
    <row r="6">
      <c r="A6" s="0" t="inlineStr">
        <is>
          <t xml:space="preserve">营业收入（元）</t>
        </is>
      </c>
      <c r="B6" s="0">
        <f>B4*B5</f>
        <v>0</v>
      </c>
      <c r="E6" s="0" t="inlineStr">
        <is>
          <t xml:space="preserve">= 年产量 × 均价</t>
        </is>
      </c>
    </row>
    <row r="7">
      <c r="A7" s="0" t="inlineStr">
        <is>
          <t xml:space="preserve">原粮+曲种占比</t>
        </is>
      </c>
      <c r="B7" s="4">
        <v>0.42</v>
      </c>
      <c r="E7" s="0" t="inlineStr">
        <is>
          <t xml:space="preserve">占营业收入比，含损耗</t>
        </is>
      </c>
    </row>
    <row r="8">
      <c r="A8" s="0" t="inlineStr">
        <is>
          <t xml:space="preserve">包材占比</t>
        </is>
      </c>
      <c r="B8" s="4">
        <v>0.1</v>
      </c>
      <c r="E8" s="0" t="inlineStr">
        <is>
          <t xml:space="preserve">瓶、盖、标、箱</t>
        </is>
      </c>
    </row>
    <row r="9">
      <c r="A9" s="0" t="inlineStr">
        <is>
          <t xml:space="preserve">能耗占比</t>
        </is>
      </c>
      <c r="B9" s="4">
        <v>0.021</v>
      </c>
      <c r="E9" s="0" t="inlineStr">
        <is>
          <t xml:space="preserve">约 180 万/年</t>
        </is>
      </c>
    </row>
    <row r="10">
      <c r="A10" s="0" t="inlineStr">
        <is>
          <t xml:space="preserve">人工占比</t>
        </is>
      </c>
      <c r="B10" s="4">
        <v>0.12</v>
      </c>
      <c r="E10" s="0" t="inlineStr">
        <is>
          <t xml:space="preserve">生产与管理</t>
        </is>
      </c>
    </row>
    <row r="11">
      <c r="A11" s="0" t="inlineStr">
        <is>
          <t xml:space="preserve">制造费用占比</t>
        </is>
      </c>
      <c r="B11" s="4">
        <v>0.06</v>
      </c>
      <c r="E11" s="0" t="inlineStr">
        <is>
          <t xml:space="preserve">折旧、维修、坛损</t>
        </is>
      </c>
    </row>
    <row r="12">
      <c r="A12" s="0" t="inlineStr">
        <is>
          <t xml:space="preserve">坛储在库（吨）</t>
        </is>
      </c>
      <c r="B12" s="4">
        <v>300</v>
      </c>
      <c r="E12" s="0" t="inlineStr">
        <is>
          <t xml:space="preserve">用于坛储损耗收益</t>
        </is>
      </c>
    </row>
    <row r="13">
      <c r="A13" s="0" t="inlineStr">
        <is>
          <t xml:space="preserve">平均库存金额（元）</t>
        </is>
      </c>
      <c r="B13" s="4">
        <v>3200000</v>
      </c>
      <c r="E13" s="0" t="inlineStr">
        <is>
          <t xml:space="preserve">原粮+在制+成品</t>
        </is>
      </c>
    </row>
    <row r="14">
      <c r="A14" s="0" t="inlineStr">
        <is>
          <t xml:space="preserve">资金成本率</t>
        </is>
      </c>
      <c r="B14" s="4">
        <v>0.02</v>
      </c>
      <c r="E14" s="0" t="inlineStr">
        <is>
          <t xml:space="preserve">年化，保守取值</t>
        </is>
      </c>
    </row>
    <row r="15">
      <c r="A15" s="0" t="inlineStr">
        <is>
          <t xml:space="preserve">财务人员年成本（元/人）</t>
        </is>
      </c>
      <c r="B15" s="4">
        <v>80000</v>
      </c>
      <c r="E15" s="0" t="inlineStr">
        <is>
          <t xml:space="preserve">与 13 分册一致</t>
        </is>
      </c>
    </row>
    <row r="16">
      <c r="A16" s="0" t="inlineStr">
        <is>
          <t xml:space="preserve">客服人员年成本（元/人）</t>
        </is>
      </c>
      <c r="B16" s="4">
        <v>60000</v>
      </c>
      <c r="E16" s="0" t="inlineStr">
        <is>
          <t xml:space="preserve">与 13 分册一致</t>
        </is>
      </c>
    </row>
    <row r="17">
      <c r="A17" s="0" t="inlineStr">
        <is>
          <t xml:space="preserve">库存周转天数基线（天）</t>
        </is>
      </c>
      <c r="B17" s="4">
        <v>68</v>
      </c>
      <c r="E17" s="0" t="inlineStr">
        <is>
          <t xml:space="preserve">见 00-config 指标基线</t>
        </is>
      </c>
    </row>
    <row r="18"/>
    <row r="19">
      <c r="A19" s="2" t="inlineStr">
        <is>
          <t xml:space="preserve">AI 改善幅度（首年保守口径，低/中/高 = 0.5 / 1.0 / 2.0 倍）</t>
        </is>
      </c>
    </row>
    <row r="20">
      <c r="A20" s="3" t="inlineStr">
        <is>
          <t xml:space="preserve">改善项</t>
        </is>
      </c>
      <c r="B20" s="3" t="inlineStr">
        <is>
          <t xml:space="preserve">低</t>
        </is>
      </c>
      <c r="C20" s="3" t="inlineStr">
        <is>
          <t xml:space="preserve">中</t>
        </is>
      </c>
      <c r="D20" s="3" t="inlineStr">
        <is>
          <t xml:space="preserve">高</t>
        </is>
      </c>
      <c r="E20" s="3" t="inlineStr">
        <is>
          <t xml:space="preserve">说明</t>
        </is>
      </c>
    </row>
    <row r="21">
      <c r="A21" s="0" t="inlineStr">
        <is>
          <t xml:space="preserve">出酒率提升（对营收等效）</t>
        </is>
      </c>
      <c r="B21" s="4">
        <v>0.005</v>
      </c>
      <c r="C21" s="4">
        <v>0.01</v>
      </c>
      <c r="D21" s="4">
        <v>0.02</v>
      </c>
      <c r="E21" s="0" t="inlineStr">
        <is>
          <t xml:space="preserve">每 1pt 约等效 +1% 营收</t>
        </is>
      </c>
    </row>
    <row r="22">
      <c r="A22" s="0" t="inlineStr">
        <is>
          <t xml:space="preserve">单位能耗下降</t>
        </is>
      </c>
      <c r="B22" s="4">
        <v>0.025</v>
      </c>
      <c r="C22" s="4">
        <v>0.05</v>
      </c>
      <c r="D22" s="4">
        <v>0.1</v>
      </c>
      <c r="E22" s="0" t="inlineStr">
        <is>
          <t xml:space="preserve">蒸汽与电耗优化</t>
        </is>
      </c>
    </row>
    <row r="23">
      <c r="A23" s="0" t="inlineStr">
        <is>
          <t xml:space="preserve">坛储损耗率下降</t>
        </is>
      </c>
      <c r="B23" s="4">
        <v>0.004</v>
      </c>
      <c r="C23" s="4">
        <v>0.008</v>
      </c>
      <c r="D23" s="4">
        <v>0.016</v>
      </c>
      <c r="E23" s="0" t="inlineStr">
        <is>
          <t xml:space="preserve">2.6% -&gt; 1.8%</t>
        </is>
      </c>
    </row>
    <row r="24">
      <c r="A24" s="0" t="inlineStr">
        <is>
          <t xml:space="preserve">库存周转天数下降</t>
        </is>
      </c>
      <c r="B24" s="4">
        <v>6</v>
      </c>
      <c r="C24" s="4">
        <v>13</v>
      </c>
      <c r="D24" s="4">
        <v>26</v>
      </c>
      <c r="E24" s="0" t="inlineStr">
        <is>
          <t xml:space="preserve">68 -&gt; 55 / 50 天</t>
        </is>
      </c>
    </row>
    <row r="25">
      <c r="A25" s="0" t="inlineStr">
        <is>
          <t xml:space="preserve">财务对账人力节省比例</t>
        </is>
      </c>
      <c r="B25" s="4">
        <v>0.2</v>
      </c>
      <c r="C25" s="4">
        <v>0.4</v>
      </c>
      <c r="D25" s="4">
        <v>0.6</v>
      </c>
      <c r="E25" s="0" t="inlineStr">
        <is>
          <t xml:space="preserve">2 人 × 比例</t>
        </is>
      </c>
    </row>
    <row r="26">
      <c r="A26" s="0" t="inlineStr">
        <is>
          <t xml:space="preserve">客服人力节省比例</t>
        </is>
      </c>
      <c r="B26" s="4">
        <v>0.2</v>
      </c>
      <c r="C26" s="4">
        <v>0.4</v>
      </c>
      <c r="D26" s="4">
        <v>0.6</v>
      </c>
      <c r="E26" s="0" t="inlineStr">
        <is>
          <t xml:space="preserve">1.5 人 × 比例</t>
        </is>
      </c>
    </row>
    <row r="27">
      <c r="A27" s="0" t="inlineStr">
        <is>
          <t xml:space="preserve">标签/证照返工规避（元）</t>
        </is>
      </c>
      <c r="B27" s="4">
        <v>50000</v>
      </c>
      <c r="C27" s="4">
        <v>100000</v>
      </c>
      <c r="D27" s="4">
        <v>200000</v>
      </c>
      <c r="E27" s="0" t="inlineStr">
        <is>
          <t xml:space="preserve">避免下架返工</t>
        </is>
      </c>
    </row>
    <row r="28">
      <c r="A28" s="0" t="inlineStr">
        <is>
          <t xml:space="preserve">优质品率提升（对营收等效）</t>
        </is>
      </c>
      <c r="B28" s="4">
        <v>0.01</v>
      </c>
      <c r="C28" s="4">
        <v>0.02</v>
      </c>
      <c r="D28" s="4">
        <v>0.04</v>
      </c>
      <c r="E28" s="0" t="inlineStr">
        <is>
          <t xml:space="preserve">81% -&gt; 84% / 88%</t>
        </is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32" customWidth="1"/>
    <col min="3" max="3" width="12" customWidth="1"/>
    <col min="4" max="4" width="36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>
      <c r="A2" s="2" t="inlineStr">
        <is>
          <t xml:space="preserve">投资分项（单位：万元）——与 13-路线图与ROI.md 第 3 节同源</t>
        </is>
      </c>
    </row>
    <row r="3">
      <c r="A3" s="3" t="inlineStr">
        <is>
          <t xml:space="preserve">阶段</t>
        </is>
      </c>
      <c r="B3" s="3" t="inlineStr">
        <is>
          <t xml:space="preserve">项目</t>
        </is>
      </c>
      <c r="C3" s="3" t="inlineStr">
        <is>
          <t xml:space="preserve">金额</t>
        </is>
      </c>
      <c r="D3" s="3" t="inlineStr">
        <is>
          <t xml:space="preserve">说明</t>
        </is>
      </c>
    </row>
    <row r="4">
      <c r="A4" s="0" t="inlineStr">
        <is>
          <t xml:space="preserve">P0</t>
        </is>
      </c>
      <c r="B4" s="0" t="inlineStr">
        <is>
          <t xml:space="preserve">数字化专员 1 人（2 个月）</t>
        </is>
      </c>
      <c r="C4" s="0">
        <v>3</v>
      </c>
      <c r="D4" s="0" t="inlineStr">
        <is>
          <t xml:space="preserve">内部人力，按年 18 万计</t>
        </is>
      </c>
    </row>
    <row r="5">
      <c r="A5" s="0" t="inlineStr">
        <is>
          <t xml:space="preserve">P0</t>
        </is>
      </c>
      <c r="B5" s="0" t="inlineStr">
        <is>
          <t xml:space="preserve">编码与模板改造、数据清洗支持</t>
        </is>
      </c>
      <c r="C5" s="0">
        <v>2</v>
      </c>
      <c r="D5" s="0" t="inlineStr">
        <is>
          <t xml:space="preserve">外部顾问 5 人天</t>
        </is>
      </c>
    </row>
    <row r="6">
      <c r="A6" s="0" t="inlineStr">
        <is>
          <t xml:space="preserve">P0</t>
        </is>
      </c>
      <c r="B6" s="0" t="inlineStr">
        <is>
          <t xml:space="preserve">打印/标签/单据耗材</t>
        </is>
      </c>
      <c r="C6" s="0">
        <v>0.5</v>
      </c>
      <c r="D6" s="0" t="inlineStr">
        <is>
          <t xml:space="preserve">FB 号条码化</t>
        </is>
      </c>
    </row>
    <row r="7">
      <c r="A7" s="0" t="inlineStr">
        <is>
          <t xml:space="preserve">P0</t>
        </is>
      </c>
      <c r="B7" s="0" t="inlineStr">
        <is>
          <t xml:space="preserve">数据质量监控脚本与看板</t>
        </is>
      </c>
      <c r="C7" s="0">
        <v>2.5</v>
      </c>
      <c r="D7" s="0" t="inlineStr">
        <is>
          <t xml:space="preserve">外部开发 6 人天</t>
        </is>
      </c>
    </row>
    <row r="8">
      <c r="A8" s="0" t="inlineStr">
        <is>
          <t xml:space="preserve">P1</t>
        </is>
      </c>
      <c r="B8" s="0" t="inlineStr">
        <is>
          <t xml:space="preserve">温度采集试点（10 罐）</t>
        </is>
      </c>
      <c r="C8" s="0">
        <v>6</v>
      </c>
      <c r="D8" s="0" t="inlineStr">
        <is>
          <t xml:space="preserve">约 0.6 万/罐</t>
        </is>
      </c>
    </row>
    <row r="9">
      <c r="A9" s="0" t="inlineStr">
        <is>
          <t xml:space="preserve">P1</t>
        </is>
      </c>
      <c r="B9" s="0" t="inlineStr">
        <is>
          <t xml:space="preserve">化验室 LIMS-lite</t>
        </is>
      </c>
      <c r="C9" s="0">
        <v>3</v>
      </c>
      <c r="D9" s="0" t="inlineStr">
        <is>
          <t xml:space="preserve">化验录入、批次绑定</t>
        </is>
      </c>
    </row>
    <row r="10">
      <c r="A10" s="0" t="inlineStr">
        <is>
          <t xml:space="preserve">P1</t>
        </is>
      </c>
      <c r="B10" s="0" t="inlineStr">
        <is>
          <t xml:space="preserve">便携快检器具</t>
        </is>
      </c>
      <c r="C10" s="0">
        <v>2</v>
      </c>
      <c r="D10" s="0" t="inlineStr">
        <is>
          <t xml:space="preserve">折光仪、pH 计、电子秤</t>
        </is>
      </c>
    </row>
    <row r="11">
      <c r="A11" s="0" t="inlineStr">
        <is>
          <t xml:space="preserve">P1</t>
        </is>
      </c>
      <c r="B11" s="0" t="inlineStr">
        <is>
          <t xml:space="preserve">ERP/Excel 数据集成</t>
        </is>
      </c>
      <c r="C11" s="0">
        <v>5</v>
      </c>
      <c r="D11" s="0" t="inlineStr">
        <is>
          <t xml:space="preserve">中间库/视图 12 人天</t>
        </is>
      </c>
    </row>
    <row r="12">
      <c r="A12" s="0" t="inlineStr">
        <is>
          <t xml:space="preserve">P1</t>
        </is>
      </c>
      <c r="B12" s="0" t="inlineStr">
        <is>
          <t xml:space="preserve">Agent 平台（本地编排+审计日志）</t>
        </is>
      </c>
      <c r="C12" s="0">
        <v>4</v>
      </c>
      <c r="D12" s="0" t="inlineStr">
        <is>
          <t xml:space="preserve">部署与配置</t>
        </is>
      </c>
    </row>
    <row r="13">
      <c r="A13" s="0" t="inlineStr">
        <is>
          <t xml:space="preserve">P1</t>
        </is>
      </c>
      <c r="B13" s="0" t="inlineStr">
        <is>
          <t xml:space="preserve">首批 3 个 Agent 实施</t>
        </is>
      </c>
      <c r="C13" s="0">
        <v>8</v>
      </c>
      <c r="D13" s="0" t="inlineStr">
        <is>
          <t xml:space="preserve">标签审核、对账、票据</t>
        </is>
      </c>
    </row>
    <row r="14">
      <c r="A14" s="0" t="inlineStr">
        <is>
          <t xml:space="preserve">P1</t>
        </is>
      </c>
      <c r="B14" s="0" t="inlineStr">
        <is>
          <t xml:space="preserve">云 API 与算力（4 个月）</t>
        </is>
      </c>
      <c r="C14" s="0">
        <v>1</v>
      </c>
      <c r="D14" s="0" t="inlineStr">
        <is>
          <t xml:space="preserve">仅非敏感任务</t>
        </is>
      </c>
    </row>
    <row r="15">
      <c r="A15" s="0" t="inlineStr">
        <is>
          <t xml:space="preserve">P1</t>
        </is>
      </c>
      <c r="B15" s="0" t="inlineStr">
        <is>
          <t xml:space="preserve">培训与手册</t>
        </is>
      </c>
      <c r="C15" s="0">
        <v>1.5</v>
      </c>
      <c r="D15" s="0" t="inlineStr">
        <is>
          <t xml:space="preserve">分岗位培训</t>
        </is>
      </c>
    </row>
    <row r="16">
      <c r="A16" s="0" t="inlineStr">
        <is>
          <t xml:space="preserve">P1</t>
        </is>
      </c>
      <c r="B16" s="0" t="inlineStr">
        <is>
          <t xml:space="preserve">评测集标注与影子运行</t>
        </is>
      </c>
      <c r="C16" s="0">
        <v>3</v>
      </c>
      <c r="D16" s="0" t="inlineStr">
        <is>
          <t xml:space="preserve">200 条/Agent 样本</t>
        </is>
      </c>
    </row>
    <row r="17">
      <c r="A17" s="0" t="inlineStr">
        <is>
          <t xml:space="preserve">P2</t>
        </is>
      </c>
      <c r="B17" s="0" t="inlineStr">
        <is>
          <t xml:space="preserve">温度采集全罐+坛（约 40 罐）</t>
        </is>
      </c>
      <c r="C17" s="0">
        <v>18</v>
      </c>
      <c r="D17" s="0" t="inlineStr">
        <is>
          <t xml:space="preserve">含网关扩容</t>
        </is>
      </c>
    </row>
    <row r="18">
      <c r="A18" s="0" t="inlineStr">
        <is>
          <t xml:space="preserve">P2</t>
        </is>
      </c>
      <c r="B18" s="0" t="inlineStr">
        <is>
          <t xml:space="preserve">坛存称重与盘点 App</t>
        </is>
      </c>
      <c r="C18" s="0">
        <v>5</v>
      </c>
      <c r="D18" s="0" t="inlineStr">
        <is>
          <t xml:space="preserve">秤+移动端+标签</t>
        </is>
      </c>
    </row>
    <row r="19">
      <c r="A19" s="0" t="inlineStr">
        <is>
          <t xml:space="preserve">P2</t>
        </is>
      </c>
      <c r="B19" s="0" t="inlineStr">
        <is>
          <t xml:space="preserve">4 个 Agent 实施</t>
        </is>
      </c>
      <c r="C19" s="0">
        <v>12</v>
      </c>
      <c r="D19" s="0" t="inlineStr">
        <is>
          <t xml:space="preserve">发酵、坛储、经销商、预测</t>
        </is>
      </c>
    </row>
    <row r="20">
      <c r="A20" s="0" t="inlineStr">
        <is>
          <t xml:space="preserve">P2</t>
        </is>
      </c>
      <c r="B20" s="0" t="inlineStr">
        <is>
          <t xml:space="preserve">客服与一物一码</t>
        </is>
      </c>
      <c r="C20" s="0">
        <v>8</v>
      </c>
      <c r="D20" s="0" t="inlineStr">
        <is>
          <t xml:space="preserve">编码、验真、知识库</t>
        </is>
      </c>
    </row>
    <row r="21">
      <c r="A21" s="0" t="inlineStr">
        <is>
          <t xml:space="preserve">P2</t>
        </is>
      </c>
      <c r="B21" s="0" t="inlineStr">
        <is>
          <t xml:space="preserve">算力与云 API（6 个月）</t>
        </is>
      </c>
      <c r="C21" s="0">
        <v>2</v>
      </c>
    </row>
    <row r="22">
      <c r="A22" s="0" t="inlineStr">
        <is>
          <t xml:space="preserve">P2</t>
        </is>
      </c>
      <c r="B22" s="0" t="inlineStr">
        <is>
          <t xml:space="preserve">运营人力（第 2 人）</t>
        </is>
      </c>
      <c r="C22" s="0">
        <v>3</v>
      </c>
      <c r="D22" s="0" t="inlineStr">
        <is>
          <t xml:space="preserve">内部人力</t>
        </is>
      </c>
    </row>
    <row r="23">
      <c r="A23" s="0" t="inlineStr">
        <is>
          <t xml:space="preserve">P3</t>
        </is>
      </c>
      <c r="B23" s="0" t="inlineStr">
        <is>
          <t xml:space="preserve">本地 GPU 推理服务器</t>
        </is>
      </c>
      <c r="C23" s="0">
        <v>15</v>
      </c>
      <c r="D23" s="0" t="inlineStr">
        <is>
          <t xml:space="preserve">32B 级量化推理</t>
        </is>
      </c>
    </row>
    <row r="24">
      <c r="A24" s="0" t="inlineStr">
        <is>
          <t xml:space="preserve">P3</t>
        </is>
      </c>
      <c r="B24" s="0" t="inlineStr">
        <is>
          <t xml:space="preserve">私有化模型部署与调优</t>
        </is>
      </c>
      <c r="C24" s="0">
        <v>6</v>
      </c>
      <c r="D24" s="0" t="inlineStr">
        <is>
          <t xml:space="preserve">S3 数据本地推理</t>
        </is>
      </c>
    </row>
    <row r="25">
      <c r="A25" s="0" t="inlineStr">
        <is>
          <t xml:space="preserve">P3</t>
        </is>
      </c>
      <c r="B25" s="0" t="inlineStr">
        <is>
          <t xml:space="preserve">视觉质检试点（1 条线）</t>
        </is>
      </c>
      <c r="C25" s="0">
        <v>12</v>
      </c>
      <c r="D25" s="0" t="inlineStr">
        <is>
          <t xml:space="preserve">相机+光源+边缘盒</t>
        </is>
      </c>
    </row>
    <row r="26">
      <c r="A26" s="0" t="inlineStr">
        <is>
          <t xml:space="preserve">P3</t>
        </is>
      </c>
      <c r="B26" s="0" t="inlineStr">
        <is>
          <t xml:space="preserve">批次成本与经营驾驶舱</t>
        </is>
      </c>
      <c r="C26" s="0">
        <v>10</v>
      </c>
      <c r="D26" s="0" t="inlineStr">
        <is>
          <t xml:space="preserve">指标 API + 问答</t>
        </is>
      </c>
    </row>
    <row r="27">
      <c r="A27" s="0" t="inlineStr">
        <is>
          <t xml:space="preserve">P3</t>
        </is>
      </c>
      <c r="B27" s="0" t="inlineStr">
        <is>
          <t xml:space="preserve">能耗计量补点</t>
        </is>
      </c>
      <c r="C27" s="0">
        <v>6</v>
      </c>
      <c r="D27" s="0" t="inlineStr">
        <is>
          <t xml:space="preserve">分摊到批次成本</t>
        </is>
      </c>
    </row>
    <row r="28">
      <c r="A28" s="0" t="inlineStr">
        <is>
          <t xml:space="preserve">P3</t>
        </is>
      </c>
      <c r="B28" s="0" t="inlineStr">
        <is>
          <t xml:space="preserve">算力与运维</t>
        </is>
      </c>
      <c r="C28" s="0">
        <v>3</v>
      </c>
    </row>
    <row r="29">
      <c r="B29" s="0" t="inlineStr">
        <is>
          <t xml:space="preserve">合计</t>
        </is>
      </c>
      <c r="C29" s="6">
        <f>SUM(C4:C29)</f>
        <v>0</v>
      </c>
      <c r="D29" s="0" t="inlineStr">
        <is>
          <t xml:space="preserve">应为 141.5</t>
        </is>
      </c>
    </row>
    <row r="30">
      <c r="B30" s="0" t="inlineStr">
        <is>
          <t xml:space="preserve">P0 小计</t>
        </is>
      </c>
      <c r="C30" s="0">
        <f>SUMIF(A4:A29,"P0",C4:C29)</f>
        <v>0</v>
      </c>
      <c r="D30" s="0" t="inlineStr">
        <is>
          <t xml:space="preserve">8.0</t>
        </is>
      </c>
    </row>
    <row r="31">
      <c r="B31" s="0" t="inlineStr">
        <is>
          <t xml:space="preserve">P1 小计</t>
        </is>
      </c>
      <c r="C31" s="0">
        <f>SUMIF(A4:A29,"P1",C4:C29)</f>
        <v>0</v>
      </c>
      <c r="D31" s="0" t="inlineStr">
        <is>
          <t xml:space="preserve">33.5</t>
        </is>
      </c>
    </row>
    <row r="32">
      <c r="B32" s="0" t="inlineStr">
        <is>
          <t xml:space="preserve">P2 小计</t>
        </is>
      </c>
      <c r="C32" s="0">
        <f>SUMIF(A4:A29,"P2",C4:C29)</f>
        <v>0</v>
      </c>
      <c r="D32" s="0" t="inlineStr">
        <is>
          <t xml:space="preserve">48.0</t>
        </is>
      </c>
    </row>
    <row r="33">
      <c r="B33" s="0" t="inlineStr">
        <is>
          <t xml:space="preserve">P3 小计</t>
        </is>
      </c>
      <c r="C33" s="0">
        <f>SUMIF(A4:A29,"P3",C4:C29)</f>
        <v>0</v>
      </c>
      <c r="D33" s="0" t="inlineStr">
        <is>
          <t xml:space="preserve">52.0</t>
        </is>
      </c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16" customWidth="1"/>
    <col min="3" max="3" width="16" customWidth="1"/>
    <col min="4" max="4" width="16" customWidth="1"/>
    <col min="5" max="5" width="34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>
      <c r="A2" s="2" t="inlineStr">
        <is>
          <t xml:space="preserve">首年收益测算（元）——公式驱动，改参数表即重算</t>
        </is>
      </c>
    </row>
    <row r="3">
      <c r="A3" s="3" t="inlineStr">
        <is>
          <t xml:space="preserve">收益项</t>
        </is>
      </c>
      <c r="B3" s="3" t="inlineStr">
        <is>
          <t xml:space="preserve">低</t>
        </is>
      </c>
      <c r="C3" s="3" t="inlineStr">
        <is>
          <t xml:space="preserve">中</t>
        </is>
      </c>
      <c r="D3" s="3" t="inlineStr">
        <is>
          <t xml:space="preserve">高</t>
        </is>
      </c>
      <c r="E3" s="3" t="inlineStr">
        <is>
          <t xml:space="preserve">计算口径</t>
        </is>
      </c>
    </row>
    <row r="4">
      <c r="A4" s="0" t="inlineStr">
        <is>
          <t xml:space="preserve">出酒率提升</t>
        </is>
      </c>
      <c r="B4" s="0">
        <f>参数!B6*参数!B21</f>
        <v>0</v>
      </c>
      <c r="C4" s="0">
        <f>参数!B6*参数!C21</f>
        <v>0</v>
      </c>
      <c r="D4" s="0">
        <f>参数!B6*参数!D21</f>
        <v>0</v>
      </c>
      <c r="E4" s="0" t="inlineStr">
        <is>
          <t xml:space="preserve">营收 × 提升幅度</t>
        </is>
      </c>
    </row>
    <row r="5">
      <c r="A5" s="0" t="inlineStr">
        <is>
          <t xml:space="preserve">单位能耗下降</t>
        </is>
      </c>
      <c r="B5" s="0">
        <f>参数!B6*参数!B9*参数!B22</f>
        <v>0</v>
      </c>
      <c r="C5" s="0">
        <f>参数!B6*参数!B9*参数!C22</f>
        <v>0</v>
      </c>
      <c r="D5" s="0">
        <f>参数!B6*参数!B9*参数!D22</f>
        <v>0</v>
      </c>
      <c r="E5" s="0" t="inlineStr">
        <is>
          <t xml:space="preserve">营收 × 能耗占比 × 降幅</t>
        </is>
      </c>
    </row>
    <row r="6">
      <c r="A6" s="0" t="inlineStr">
        <is>
          <t xml:space="preserve">坛储损耗下降</t>
        </is>
      </c>
      <c r="B6" s="0">
        <f>参数!B13*参数!B5*参数!B23</f>
        <v>0</v>
      </c>
      <c r="C6" s="0">
        <f>参数!B13*参数!B5*参数!C23</f>
        <v>0</v>
      </c>
      <c r="D6" s="0">
        <f>参数!B13*参数!B5*参数!D23</f>
        <v>0</v>
      </c>
      <c r="E6" s="0" t="inlineStr">
        <is>
          <t xml:space="preserve">坛储吨 × 均价 × 降幅</t>
        </is>
      </c>
    </row>
    <row r="7">
      <c r="A7" s="0" t="inlineStr">
        <is>
          <t xml:space="preserve">库存资金占用下降</t>
        </is>
      </c>
      <c r="B7" s="0">
        <f>参数!B15*参数!B14*(参数!B24/参数!B18)</f>
        <v>0</v>
      </c>
      <c r="C7" s="0">
        <f>参数!B15*参数!B14*(参数!C24/参数!B18)</f>
        <v>0</v>
      </c>
      <c r="D7" s="0">
        <f>参数!B15*参数!B14*(参数!D24/参数!B18)</f>
        <v>0</v>
      </c>
      <c r="E7" s="0" t="inlineStr">
        <is>
          <t xml:space="preserve">库存 × 资金成本 × 周转加速</t>
        </is>
      </c>
    </row>
    <row r="8">
      <c r="A8" s="0" t="inlineStr">
        <is>
          <t xml:space="preserve">财务对账人力节省</t>
        </is>
      </c>
      <c r="B8" s="0">
        <f>2*参数!B16*参数!B25</f>
        <v>0</v>
      </c>
      <c r="C8" s="0">
        <f>2*参数!B16*参数!C25</f>
        <v>0</v>
      </c>
      <c r="D8" s="0">
        <f>2*参数!B16*参数!D25</f>
        <v>0</v>
      </c>
      <c r="E8" s="0" t="inlineStr">
        <is>
          <t xml:space="preserve">2 人 × 年成本 × 比例</t>
        </is>
      </c>
    </row>
    <row r="9">
      <c r="A9" s="0" t="inlineStr">
        <is>
          <t xml:space="preserve">客服人力节省</t>
        </is>
      </c>
      <c r="B9" s="0">
        <f>1.5*参数!B17*参数!B26</f>
        <v>0</v>
      </c>
      <c r="C9" s="0">
        <f>1.5*参数!B17*参数!C26</f>
        <v>0</v>
      </c>
      <c r="D9" s="0">
        <f>1.5*参数!B17*参数!D26</f>
        <v>0</v>
      </c>
      <c r="E9" s="0" t="inlineStr">
        <is>
          <t xml:space="preserve">1.5 人 × 年成本 × 比例</t>
        </is>
      </c>
    </row>
    <row r="10">
      <c r="A10" s="0" t="inlineStr">
        <is>
          <t xml:space="preserve">标签与证照返工规避</t>
        </is>
      </c>
      <c r="B10" s="0">
        <f>参数!B27</f>
        <v>0</v>
      </c>
      <c r="C10" s="0">
        <f>参数!C27</f>
        <v>0</v>
      </c>
      <c r="D10" s="0">
        <f>参数!D27</f>
        <v>0</v>
      </c>
      <c r="E10" s="0" t="inlineStr">
        <is>
          <t xml:space="preserve">直接取值</t>
        </is>
      </c>
    </row>
    <row r="11">
      <c r="A11" s="0" t="inlineStr">
        <is>
          <t xml:space="preserve">优质品率提升</t>
        </is>
      </c>
      <c r="B11" s="0">
        <f>参数!B6*参数!B28</f>
        <v>0</v>
      </c>
      <c r="C11" s="0">
        <f>参数!B6*参数!C28</f>
        <v>0</v>
      </c>
      <c r="D11" s="0">
        <f>参数!B6*参数!D28</f>
        <v>0</v>
      </c>
      <c r="E11" s="0" t="inlineStr">
        <is>
          <t xml:space="preserve">营收 × 提升幅度</t>
        </is>
      </c>
    </row>
    <row r="12">
      <c r="A12" s="0" t="inlineStr">
        <is>
          <t xml:space="preserve">首年收益合计</t>
        </is>
      </c>
      <c r="B12" s="6">
        <f>SUM(B4:B11)</f>
        <v>0</v>
      </c>
      <c r="C12" s="6">
        <f>SUM(C4:C11)</f>
        <v>0</v>
      </c>
      <c r="D12" s="6">
        <f>SUM(D4:D11)</f>
        <v>0</v>
      </c>
      <c r="E12" s="0" t="inlineStr">
        <is>
          <t xml:space="preserve">元/年</t>
        </is>
      </c>
    </row>
    <row r="13"/>
    <row r="14">
      <c r="A14" s="2" t="inlineStr">
        <is>
          <t xml:space="preserve">三年口径</t>
        </is>
      </c>
    </row>
    <row r="15">
      <c r="A15" s="3" t="inlineStr">
        <is>
          <t xml:space="preserve">项目</t>
        </is>
      </c>
      <c r="B15" s="3" t="inlineStr">
        <is>
          <t xml:space="preserve">低</t>
        </is>
      </c>
      <c r="C15" s="3" t="inlineStr">
        <is>
          <t xml:space="preserve">中</t>
        </is>
      </c>
      <c r="D15" s="3" t="inlineStr">
        <is>
          <t xml:space="preserve">高</t>
        </is>
      </c>
      <c r="E15" s="3" t="inlineStr">
        <is>
          <t xml:space="preserve">说明</t>
        </is>
      </c>
    </row>
    <row r="16">
      <c r="A16" s="0" t="inlineStr">
        <is>
          <t xml:space="preserve">第 1 年收益</t>
        </is>
      </c>
      <c r="B16" s="0">
        <f>B12</f>
        <v>0</v>
      </c>
      <c r="C16" s="0">
        <f>C12</f>
        <v>0</v>
      </c>
      <c r="D16" s="0">
        <f>D12</f>
        <v>0</v>
      </c>
      <c r="E16" s="0" t="inlineStr">
        <is>
          <t xml:space="preserve">同首年测算</t>
        </is>
      </c>
    </row>
    <row r="17">
      <c r="A17" s="0" t="inlineStr">
        <is>
          <t xml:space="preserve">第 2 年收益（×2.0）</t>
        </is>
      </c>
      <c r="B17" s="0">
        <f>B15*2</f>
        <v>0</v>
      </c>
      <c r="C17" s="0">
        <f>C15*2</f>
        <v>0</v>
      </c>
      <c r="D17" s="0">
        <f>D15*2</f>
        <v>0</v>
      </c>
      <c r="E17" s="0" t="inlineStr">
        <is>
          <t xml:space="preserve">规模效应与场景扩面</t>
        </is>
      </c>
    </row>
    <row r="18">
      <c r="A18" s="0" t="inlineStr">
        <is>
          <t xml:space="preserve">第 3 年收益（×2.5）</t>
        </is>
      </c>
      <c r="B18" s="0">
        <f>B15*2.5</f>
        <v>0</v>
      </c>
      <c r="C18" s="0">
        <f>C15*2.5</f>
        <v>0</v>
      </c>
      <c r="D18" s="0">
        <f>D15*2.5</f>
        <v>0</v>
      </c>
      <c r="E18" s="0" t="inlineStr">
        <is>
          <t xml:space="preserve">成本精细化与排产优化</t>
        </is>
      </c>
    </row>
    <row r="19">
      <c r="A19" s="0" t="inlineStr">
        <is>
          <t xml:space="preserve">三年收益合计</t>
        </is>
      </c>
      <c r="B19" s="6">
        <f>SUM(B15:B17)</f>
        <v>0</v>
      </c>
      <c r="C19" s="6">
        <f>SUM(C15:C17)</f>
        <v>0</v>
      </c>
      <c r="D19" s="6">
        <f>SUM(D15:D17)</f>
        <v>0</v>
      </c>
      <c r="E19" s="0" t="inlineStr">
        <is>
          <t xml:space="preserve">元</t>
        </is>
      </c>
    </row>
    <row r="20">
      <c r="A20" s="0" t="inlineStr">
        <is>
          <t xml:space="preserve">三年投入（万元）</t>
        </is>
      </c>
      <c r="B20" s="0">
        <v>141.5</v>
      </c>
      <c r="C20" s="0">
        <v>141.5</v>
      </c>
      <c r="D20" s="0">
        <v>141.5</v>
      </c>
      <c r="E20" s="0" t="inlineStr">
        <is>
          <t xml:space="preserve">见投资明细合计</t>
        </is>
      </c>
    </row>
    <row r="21">
      <c r="A21" s="0" t="inlineStr">
        <is>
          <t xml:space="preserve">投入产出比</t>
        </is>
      </c>
      <c r="B21" s="0">
        <f>B18/(B19*10000)</f>
        <v>0</v>
      </c>
      <c r="C21" s="0">
        <f>C18/(C19*10000)</f>
        <v>0</v>
      </c>
      <c r="D21" s="0">
        <f>D18/(D19*10000)</f>
        <v>0</v>
      </c>
      <c r="E21" s="0" t="inlineStr">
        <is>
          <t xml:space="preserve">&gt;1 即回本</t>
        </is>
      </c>
    </row>
    <row r="22">
      <c r="A22" s="0" t="inlineStr">
        <is>
          <t xml:space="preserve">回收期（月）</t>
        </is>
      </c>
      <c r="B22" s="0">
        <f>B19*10000/(B15/12)</f>
        <v>0</v>
      </c>
      <c r="C22" s="0">
        <f>C19*10000/(C15/12)</f>
        <v>0</v>
      </c>
      <c r="D22" s="0">
        <f>D19*10000/(D15/12)</f>
        <v>0</v>
      </c>
      <c r="E22" s="0" t="inlineStr">
        <is>
          <t xml:space="preserve">按首年收益折算</t>
        </is>
      </c>
    </row>
  </sheetData>
</worksheet>
</file>

<file path=xl/worksheets/sheet4.xml><?xml version="1.0" encoding="utf-8"?>
<worksheet xmlns="http://schemas.openxmlformats.org/spreadsheetml/2006/main">
  <cols>
    <col min="1" max="1" width="120" customWidth="1"/>
  </cols>
  <sheetData>
    <row r="1">
      <c r="A1" s="2" t="inlineStr">
        <is>
          <t xml:space="preserve">使用说明</t>
        </is>
      </c>
    </row>
    <row r="2">
      <c r="A2" s="0" t="inlineStr">
        <is>
          <t xml:space="preserve">1. 本表是《米酒厂 AI 管理体系》配套测算工具，与 13-路线图与ROI.md 数字同源。</t>
        </is>
      </c>
    </row>
    <row r="3">
      <c r="A3" s="0" t="inlineStr">
        <is>
          <t xml:space="preserve">2. 只改“参数”表浅蓝底色单元格，“收益测算”表自动重算；公式为静态文本，Excel/WPS 打开即生效。</t>
        </is>
      </c>
    </row>
    <row r="4">
      <c r="A4" s="0" t="inlineStr">
        <is>
          <t xml:space="preserve">3. 低/中/高三档 = 首年改善幅度的 0.5 / 1.0 / 2.0 倍，用于给立项决策留区间。</t>
        </is>
      </c>
    </row>
    <row r="5">
      <c r="A5" s="0" t="inlineStr">
        <is>
          <t xml:space="preserve">4. 收益为量级估算，未含停产改造损失、人员学习成本与第 2 年起的运维（约 6–10 万/年）。</t>
        </is>
      </c>
    </row>
    <row r="6">
      <c r="A6" s="0" t="inlineStr">
        <is>
          <t xml:space="preserve">5. 出厂均价与各成本占比须按本厂实际财务数据替换后，再用于正式立项决策。</t>
        </is>
      </c>
    </row>
    <row r="7">
      <c r="A7" s="0" t="inlineStr">
        <is>
          <t xml:space="preserve">6. 生成方式：node tools/build-estimate-model.mjs（纯 Node 标准库，无需安装依赖）。</t>
        </is>
      </c>
    </row>
  </sheetData>
</worksheet>
</file>